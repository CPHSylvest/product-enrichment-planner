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atasas-my.sharepoint.com/personal/ceha_matas_dk/Documents/Skrivebord/"/>
    </mc:Choice>
  </mc:AlternateContent>
  <xr:revisionPtr revIDLastSave="248" documentId="8_{FA7F3D65-7B3B-4F60-9BE5-EBEDAD1DCA87}" xr6:coauthVersionLast="47" xr6:coauthVersionMax="47" xr10:uidLastSave="{DC0E6ABB-CA3A-4C1F-91D7-71A381E301A2}"/>
  <bookViews>
    <workbookView xWindow="-120" yWindow="-120" windowWidth="29040" windowHeight="15720" activeTab="3" xr2:uid="{00000000-000D-0000-FFFF-FFFF00000000}"/>
  </bookViews>
  <sheets>
    <sheet name="Dashboard" sheetId="1" r:id="rId1"/>
    <sheet name="Guide" sheetId="2" r:id="rId2"/>
    <sheet name="Team" sheetId="3" r:id="rId3"/>
    <sheet name="Arbejdsopgaver" sheetId="4" r:id="rId4"/>
    <sheet name="Workspaces" sheetId="5" r:id="rId5"/>
    <sheet name="Tilgængelighed" sheetId="6" r:id="rId6"/>
    <sheet name="Plan &amp; Projekter" sheetId="7" r:id="rId7"/>
    <sheet name="Settings" sheetId="8" r:id="rId8"/>
  </sheets>
  <definedNames>
    <definedName name="_xlnm._FilterDatabase" localSheetId="3" hidden="1">Arbejdsopgaver!$A$1:$O$30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</calcChain>
</file>

<file path=xl/sharedStrings.xml><?xml version="1.0" encoding="utf-8"?>
<sst xmlns="http://schemas.openxmlformats.org/spreadsheetml/2006/main" count="848" uniqueCount="288">
  <si>
    <t>PE Planner Administration</t>
  </si>
  <si>
    <t>Version 2.1 | Official administration file for PE Planner</t>
  </si>
  <si>
    <t>Quick status</t>
  </si>
  <si>
    <t>Administrator notes to team</t>
  </si>
  <si>
    <t>Team members</t>
  </si>
  <si>
    <t>Active employees</t>
  </si>
  <si>
    <t>Recurring tasks</t>
  </si>
  <si>
    <t>Active tasks</t>
  </si>
  <si>
    <t>Workspaces</t>
  </si>
  <si>
    <t>Project rows</t>
  </si>
  <si>
    <t>Guide - PE Planner Administration</t>
  </si>
  <si>
    <t>Rule</t>
  </si>
  <si>
    <t>Description</t>
  </si>
  <si>
    <t>Tilgængelighed</t>
  </si>
  <si>
    <t>Blank cell means Arbejde. Select only Ferie, Fridag, Kursus or Syg.</t>
  </si>
  <si>
    <t>Arbejdsopgaver</t>
  </si>
  <si>
    <t>Only recurring tasks. Ad hoc/project work goes in Plan &amp; Projekter.</t>
  </si>
  <si>
    <t>Links are maintained centrally here.</t>
  </si>
  <si>
    <t>Web app</t>
  </si>
  <si>
    <t>Buttons and interface are in English.</t>
  </si>
  <si>
    <t>Excel</t>
  </si>
  <si>
    <t>Administration file remains Danish for now.</t>
  </si>
  <si>
    <t>Employee ID</t>
  </si>
  <si>
    <t>Navn</t>
  </si>
  <si>
    <t>Initialer</t>
  </si>
  <si>
    <t>Farve</t>
  </si>
  <si>
    <t>Aktiv</t>
  </si>
  <si>
    <t>Rolle</t>
  </si>
  <si>
    <t>Timer/uge</t>
  </si>
  <si>
    <t>E-mail</t>
  </si>
  <si>
    <t>EMP001</t>
  </si>
  <si>
    <t>Jesper</t>
  </si>
  <si>
    <t>JEE</t>
  </si>
  <si>
    <t>Blå</t>
  </si>
  <si>
    <t>Ja</t>
  </si>
  <si>
    <t>Medarbejder</t>
  </si>
  <si>
    <t>EMP002</t>
  </si>
  <si>
    <t>Christine</t>
  </si>
  <si>
    <t>CVR</t>
  </si>
  <si>
    <t>Grøn</t>
  </si>
  <si>
    <t>EMP003</t>
  </si>
  <si>
    <t>Kirstine</t>
  </si>
  <si>
    <t>KIHK</t>
  </si>
  <si>
    <t>Orange</t>
  </si>
  <si>
    <t>Administrator</t>
  </si>
  <si>
    <t>EMP004</t>
  </si>
  <si>
    <t>Cecilie</t>
  </si>
  <si>
    <t>CEHA</t>
  </si>
  <si>
    <t>Lilla</t>
  </si>
  <si>
    <t>EMP005</t>
  </si>
  <si>
    <t>Stine</t>
  </si>
  <si>
    <t>STFO</t>
  </si>
  <si>
    <t>Grå</t>
  </si>
  <si>
    <t>Task ID</t>
  </si>
  <si>
    <t>Opgavegruppe</t>
  </si>
  <si>
    <t>Arbejdsopgave</t>
  </si>
  <si>
    <t>System</t>
  </si>
  <si>
    <t>Workspace</t>
  </si>
  <si>
    <t>Banner</t>
  </si>
  <si>
    <t>Frekvens</t>
  </si>
  <si>
    <t>Prioritet</t>
  </si>
  <si>
    <t>Start dagen</t>
  </si>
  <si>
    <t>Primær</t>
  </si>
  <si>
    <t>Backup</t>
  </si>
  <si>
    <t>Ferieafløser</t>
  </si>
  <si>
    <t>Estimeret tid</t>
  </si>
  <si>
    <t>Beskrivelse</t>
  </si>
  <si>
    <t>TASK001</t>
  </si>
  <si>
    <t>Daily Operations</t>
  </si>
  <si>
    <t>Bugs</t>
  </si>
  <si>
    <t>Inriver</t>
  </si>
  <si>
    <t>Workflow</t>
  </si>
  <si>
    <t>Group</t>
  </si>
  <si>
    <t>Daglig</t>
  </si>
  <si>
    <t>Kritisk</t>
  </si>
  <si>
    <t>TASK002</t>
  </si>
  <si>
    <t>TASK003</t>
  </si>
  <si>
    <t>ContentServ</t>
  </si>
  <si>
    <t>Enrichment</t>
  </si>
  <si>
    <t>Høj</t>
  </si>
  <si>
    <t>Nej</t>
  </si>
  <si>
    <t>TASK004</t>
  </si>
  <si>
    <t>Indbakke</t>
  </si>
  <si>
    <t>Outlook</t>
  </si>
  <si>
    <t>Inbox</t>
  </si>
  <si>
    <t>TASK005</t>
  </si>
  <si>
    <t>Produktberigelse</t>
  </si>
  <si>
    <t>Normal</t>
  </si>
  <si>
    <t>TASK006</t>
  </si>
  <si>
    <t>Power BI</t>
  </si>
  <si>
    <t>Launch Check</t>
  </si>
  <si>
    <t>MATAS</t>
  </si>
  <si>
    <t>TASK007</t>
  </si>
  <si>
    <t>KICKS</t>
  </si>
  <si>
    <t>TASK008</t>
  </si>
  <si>
    <t>Images</t>
  </si>
  <si>
    <t>DAM</t>
  </si>
  <si>
    <t>Encode</t>
  </si>
  <si>
    <t>TASK009</t>
  </si>
  <si>
    <t>Navigation</t>
  </si>
  <si>
    <t>Channel Nodes MATAS</t>
  </si>
  <si>
    <t>Ugentlig</t>
  </si>
  <si>
    <t>TASK010</t>
  </si>
  <si>
    <t>Channel Nodes KICKS</t>
  </si>
  <si>
    <t>TASK011</t>
  </si>
  <si>
    <t>GWP</t>
  </si>
  <si>
    <t>GWP Report</t>
  </si>
  <si>
    <t>TASK012</t>
  </si>
  <si>
    <t>TASK013</t>
  </si>
  <si>
    <t>Compliance</t>
  </si>
  <si>
    <t>TASK014</t>
  </si>
  <si>
    <t>TASK015</t>
  </si>
  <si>
    <t>Monthly</t>
  </si>
  <si>
    <t>Månedlig</t>
  </si>
  <si>
    <t>Lav</t>
  </si>
  <si>
    <t>Workspace ID</t>
  </si>
  <si>
    <t>Ikon</t>
  </si>
  <si>
    <t>Link</t>
  </si>
  <si>
    <t>Åbn i nyt vindue</t>
  </si>
  <si>
    <t>WS001</t>
  </si>
  <si>
    <t>Folder</t>
  </si>
  <si>
    <t>https://sso.productmarketingcloud.com/account/login</t>
  </si>
  <si>
    <t>WS002</t>
  </si>
  <si>
    <t>Image</t>
  </si>
  <si>
    <t>https://matas.encode.dk/matas/common/login/ebms</t>
  </si>
  <si>
    <t>WS003</t>
  </si>
  <si>
    <t>Chart</t>
  </si>
  <si>
    <t>https://app.powerbi.com/groups/813ca9c2-592d-4c2f-9e99-36211742bcc6/reports/84d059e7-1848-48b0-8d70-88392c5e0a46/81ed2795a0c2a8911e05?referrer=home&amp;ownerId=72f988bf-86f1-41af-91ab-2d7cd011db47&amp;experience=power-bi</t>
  </si>
  <si>
    <t>WS004</t>
  </si>
  <si>
    <t>https://app.powerbi.com/groups/me/apps/3c8d113c-5505-46e3-b995-6292c204a76c/reports/240b6216-047c-4ffc-a0da-390e7e18da54/6661303fd220a7984596?experience=power-bi</t>
  </si>
  <si>
    <t>WS005</t>
  </si>
  <si>
    <t>Mail</t>
  </si>
  <si>
    <t>WS006</t>
  </si>
  <si>
    <t>Puzzle</t>
  </si>
  <si>
    <t>https://login.contentserv.com/?iid=fza817&amp;forwardBackTo=portal.php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</si>
  <si>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</si>
  <si>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</si>
  <si>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</si>
  <si>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</si>
  <si>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</si>
  <si>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</si>
  <si>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</si>
  <si>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</si>
  <si>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</si>
  <si>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</si>
  <si>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</si>
  <si>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</si>
  <si>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</si>
  <si>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</si>
  <si>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</si>
  <si>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</si>
  <si>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</si>
  <si>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</si>
  <si>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</si>
  <si>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</si>
  <si>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</si>
  <si>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</si>
  <si>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</si>
  <si>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</si>
  <si>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</si>
  <si>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</si>
  <si>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</si>
  <si>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</si>
  <si>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</si>
  <si>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</si>
  <si>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</si>
  <si>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</si>
  <si>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</si>
  <si>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</si>
  <si>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</si>
  <si>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</si>
  <si>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</si>
  <si>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</si>
  <si>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</si>
  <si>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</si>
  <si>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</si>
  <si>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</si>
  <si>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</si>
  <si>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</si>
  <si>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</si>
  <si>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</si>
  <si>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</si>
  <si>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</si>
  <si>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</si>
  <si>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</si>
  <si>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</si>
  <si>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</si>
  <si>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Note: Blank cell = Arbejde. Select only deviations: Ferie, Fridag, Kursus or Syg.</t>
  </si>
  <si>
    <t>Projekt</t>
  </si>
  <si>
    <t>Opgave</t>
  </si>
  <si>
    <t>Ansvarlig</t>
  </si>
  <si>
    <t>Uge</t>
  </si>
  <si>
    <t>Deadline</t>
  </si>
  <si>
    <t>Status</t>
  </si>
  <si>
    <t>Kommentar</t>
  </si>
  <si>
    <t>XMAS26</t>
  </si>
  <si>
    <t>Ikke startet</t>
  </si>
  <si>
    <t>I gang</t>
  </si>
  <si>
    <t>Eksempel.</t>
  </si>
  <si>
    <t>Launch prep</t>
  </si>
  <si>
    <t>Kategori</t>
  </si>
  <si>
    <t>Værdi</t>
  </si>
  <si>
    <t>Afventer</t>
  </si>
  <si>
    <t>Færdig</t>
  </si>
  <si>
    <t>Blokeret</t>
  </si>
  <si>
    <t>Ferie</t>
  </si>
  <si>
    <t>Fridag</t>
  </si>
  <si>
    <t>Kursus</t>
  </si>
  <si>
    <t>Syg</t>
  </si>
  <si>
    <t>JaNej</t>
  </si>
  <si>
    <t>Systemadministrator</t>
  </si>
  <si>
    <t>Turkis</t>
  </si>
  <si>
    <t>Rød</t>
  </si>
  <si>
    <t>CS</t>
  </si>
  <si>
    <t xml:space="preserve">Produktberigelse </t>
  </si>
  <si>
    <t>Black Friday 2026</t>
  </si>
  <si>
    <t xml:space="preserve">PO rykkes for forventede datoer </t>
  </si>
  <si>
    <t>TASK016</t>
  </si>
  <si>
    <t>jee@matas.dk</t>
  </si>
  <si>
    <t>cvr@matas.dk</t>
  </si>
  <si>
    <t>kihk@matas.dk</t>
  </si>
  <si>
    <t>ceha@matas.dk</t>
  </si>
  <si>
    <t>stfo@matas.dk</t>
  </si>
  <si>
    <t>Workflow Inriver</t>
  </si>
  <si>
    <t>Activation Needed</t>
  </si>
  <si>
    <t>Launch BI</t>
  </si>
  <si>
    <t>Firtal Produktberigelser</t>
  </si>
  <si>
    <t>ContentServ/ Inriver</t>
  </si>
  <si>
    <t>Billeder godkendes</t>
  </si>
  <si>
    <t>Texts Missing</t>
  </si>
  <si>
    <t>TASK017</t>
  </si>
  <si>
    <t>Activation 14 days - BEAUTY (Hår, dufte)</t>
  </si>
  <si>
    <t>Activation 14 days - BEAUTY (Hud, makeup)</t>
  </si>
  <si>
    <t>Activation 14 days - HEALTH</t>
  </si>
  <si>
    <t>TASK018</t>
  </si>
  <si>
    <t>TASK019</t>
  </si>
  <si>
    <t>TASK020</t>
  </si>
  <si>
    <t>TASK021</t>
  </si>
  <si>
    <t>TASK022</t>
  </si>
  <si>
    <t>TASK023</t>
  </si>
  <si>
    <t>TASK024</t>
  </si>
  <si>
    <t>Gennemgå indbakke, inddel og udfør. Fokus på Health Matas og Kicks</t>
  </si>
  <si>
    <t>Workflow Inriver
Indplacering / channel nodes for KICKS.</t>
  </si>
  <si>
    <t>EMP006</t>
  </si>
  <si>
    <t>Parking Lot</t>
  </si>
  <si>
    <t>PARK</t>
  </si>
  <si>
    <t>Regulatory activation</t>
  </si>
  <si>
    <t>Workflow Inriver:
Kontroller via workflow om "Regulatorisk activation" er nødvendig.</t>
  </si>
  <si>
    <t>Filter update - HEALTH</t>
  </si>
  <si>
    <t>Health Checks Inriver Workflow</t>
  </si>
  <si>
    <t>Workflow Inriver: 
Kontrol af fejl og mangler i ContentServ. Eksempelvis: ready for web, manglende product name, serie osv.</t>
  </si>
  <si>
    <t xml:space="preserve">Workflow Inriver:
Filterberigelse bør være en opgave der tilgås når der er ekstra tid I kalenderen som det anses nu. </t>
  </si>
  <si>
    <t>Workflow Inriver: 
Månedlig opfølgning på manglende tekster.</t>
  </si>
  <si>
    <t>TASK025</t>
  </si>
  <si>
    <t>Activation - Launch Check - KICKS (BI + Workflow)</t>
  </si>
  <si>
    <t>Activation - Launch Check - MATAS (BI + Workflow)</t>
  </si>
  <si>
    <t>GWP Activation - KICKS</t>
  </si>
  <si>
    <t>GWP Activation - MATAS</t>
  </si>
  <si>
    <t>Greenwashing BEAUTY</t>
  </si>
  <si>
    <t>Greenwashing HEALTH</t>
  </si>
  <si>
    <t xml:space="preserve">GWP berigelse for KICKS. 
Fokus på status hver onsdag. Mangler sendes til PO med ønske om mere. Se PE-board - fanen "GWP Kicks" for status. </t>
  </si>
  <si>
    <t>Indbakke - modtages som mail. 
En ad hoc opgave om kommer I indbakken når nye produkter er klar til berigelse. Kommer fortsat I gammelt upload format.</t>
  </si>
  <si>
    <t>TASK026</t>
  </si>
  <si>
    <t xml:space="preserve">Start dagen med at koordinere med teamet hvor dine græfter er bedst brugt på dagen. </t>
  </si>
  <si>
    <t>Koordinering vedr. dagens opgaver</t>
  </si>
  <si>
    <t>Sort</t>
  </si>
  <si>
    <t xml:space="preserve">Dagligt launch check for MATAS. 
Dette kontrolelres fortsat via BI rapporter, men der er nu lavet et workflow I Inriver, hvor det ligeledes bør fremgå hvilke produkter der mangler aktivering. </t>
  </si>
  <si>
    <t>Gennemgå indbakke, inddel og udfør. 
Fokus på Beauty Matas og Kicks - Makeup og Skin</t>
  </si>
  <si>
    <t>Workflow Inriver:
Skal kontrolleres efter Bugs.Fungerer på tværs af alle items Kicks og Matas. Opgaven er samlet for at mindst mulig bemanding skal orientere sig om samme opgave.</t>
  </si>
  <si>
    <t>Workflow Inriver:
Daglig rutine: Start altid dagen med at gennemgå Bugs. Selvom fejlene typisk ligger uden for Product Enablements ansvarsområde, kan de blokere produktpublicering. Ved flere samtidige eller tilbagevendende fejl kontaktes teknisk support.</t>
  </si>
  <si>
    <t>Godkendelse og opfølgning på images. 
MAX 1,5 timses brug I somemrperioden! 
Øvrige opgaver må prioriteres.</t>
  </si>
  <si>
    <t xml:space="preserve">Workflow Inriver: 
MATAS - GREENWASHING - BEAUTY 
Greenwashing-kontrol i ContentServ. Ret til således "greenwashing" ord undlades I produkttekst - bør rettes I CS. </t>
  </si>
  <si>
    <t>Gennemgå indbakke, inddel og udfør. 
Fokus på Beauty Matas og Kicks - Hair + Fragrance</t>
  </si>
  <si>
    <t>Workflow Inriver:
Planlæg, berig og aktiver produkter for alle Kicks markeder. OBS: Ikke alle items har fået varehierarki, hvorfor der fortsat er en del items I "ALL" kategorien som ikke ligger under din respektive kategori-ansvar. Se derfor også heri om du har produkter der skal beriges og aktiveres.</t>
  </si>
  <si>
    <t xml:space="preserve">Workflow Inriver: 
MATAS - GREENWASHING - HEALTH 
Greenwashing-kontrol i ContentServ. Ret til således "greenwashing" ord undlades I produkttekst - bør rettes I CS. </t>
  </si>
  <si>
    <t>GWP berigelse for MATAS. Koordienres med Matas Ecommerce (Julie).</t>
  </si>
  <si>
    <t>Workflow Inriver:
Planlæg, berig og aktiver produkter for Matas</t>
  </si>
  <si>
    <t>Workflow Inriver:
Indplacering / channel nodes for Matas.</t>
  </si>
  <si>
    <t>TASK027</t>
  </si>
  <si>
    <t>Health Check KICKS - Sharepoint (excel)</t>
  </si>
  <si>
    <t>Health Check MATAS - Sharepoint (excel)</t>
  </si>
  <si>
    <t>TASK028</t>
  </si>
  <si>
    <t>Health check - fanger mangler på fx status og market, som skal beriges i Inriver /ContentServ</t>
  </si>
  <si>
    <t>You rock! I gør det pisse godt. Husk at bede om hjælp og fortælle proaktivt, hvis I ikke oplever at vi kan nå I mål med en opgave.
Husk: At være ansvarlig handler om at sikre fremdrift og resultater – ikke om at løse alle opgaverne selv nødvendigvis. Inddrag teamet, afstem prioriteringer, og delegér opgaver, hvor det skaber den bedste løsning og den mest effektive ressourceanvendelse.</t>
  </si>
  <si>
    <t>Critical</t>
  </si>
  <si>
    <t>Dagens første opgave må være en god kop kaffe 👌</t>
  </si>
  <si>
    <t>START MED EN KOP KAFFE ☕</t>
  </si>
  <si>
    <t>TASK000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</si>
</sst>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name val="Carlito"/>
    </font>
    <font>
      <b/>
      <sz val="20"/>
      <color rgb="FFFFFFFF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000066"/>
      <name val="Carlito"/>
    </font>
    <font>
      <b/>
      <sz val="18"/>
      <color rgb="FF000066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0066"/>
      </patternFill>
    </fill>
    <fill>
      <patternFill patternType="solid">
        <fgColor rgb="FFE8EEF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6" fillId="0" borderId="0" xfId="1"/>
    <xf numFmtId="0" fontId="3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0" borderId="0" xfId="0"/>
    <xf numFmtId="0" fontId="2" fillId="2" borderId="0" xfId="0" applyFont="1" applyFill="1"/>
    <xf numFmtId="0" fontId="4" fillId="3" borderId="0" xfId="0" applyFont="1" applyFill="1"/>
    <xf numFmtId="0" fontId="0" fillId="4" borderId="0" xfId="0" applyFill="1" applyAlignment="1">
      <alignment vertical="top" wrapText="1"/>
    </xf>
    <xf numFmtId="0" fontId="5" fillId="0" borderId="0" xfId="0" applyFont="1"/>
    <xf numFmtId="0" fontId="4" fillId="4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56FF7DC-00C4-48B9-B7EA-D3D2123F17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ihk@matas.dk" TargetMode="External"/><Relationship Id="rId2" Type="http://schemas.openxmlformats.org/officeDocument/2006/relationships/hyperlink" Target="mailto:cvr@matas.dk" TargetMode="External"/><Relationship Id="rId1" Type="http://schemas.openxmlformats.org/officeDocument/2006/relationships/hyperlink" Target="mailto:jee@matas.dk" TargetMode="External"/><Relationship Id="rId5" Type="http://schemas.openxmlformats.org/officeDocument/2006/relationships/hyperlink" Target="mailto:stfo@matas.dk" TargetMode="External"/><Relationship Id="rId4" Type="http://schemas.openxmlformats.org/officeDocument/2006/relationships/hyperlink" Target="mailto:ceha@matas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E21" sqref="E21"/>
    </sheetView>
  </sheetViews>
  <sheetFormatPr defaultRowHeight="14"/>
  <cols>
    <col min="1" max="8" width="18" customWidth="1"/>
  </cols>
  <sheetData>
    <row r="1" spans="1:8" ht="25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6" t="s">
        <v>1</v>
      </c>
      <c r="B2" s="5"/>
      <c r="C2" s="5"/>
      <c r="D2" s="5"/>
      <c r="E2" s="5"/>
      <c r="F2" s="5"/>
      <c r="G2" s="5"/>
      <c r="H2" s="5"/>
    </row>
    <row r="4" spans="1:8" ht="17.399999999999999" customHeight="1">
      <c r="A4" s="1" t="s">
        <v>2</v>
      </c>
      <c r="B4" s="1"/>
      <c r="D4" s="7" t="s">
        <v>3</v>
      </c>
      <c r="E4" s="5"/>
      <c r="F4" s="5"/>
      <c r="G4" s="5"/>
      <c r="H4" s="5"/>
    </row>
    <row r="5" spans="1:8">
      <c r="A5" t="s">
        <v>4</v>
      </c>
      <c r="B5">
        <f>COUNTA(Team!B2:B100)</f>
        <v>6</v>
      </c>
      <c r="D5" s="8" t="s">
        <v>283</v>
      </c>
      <c r="E5" s="5"/>
      <c r="F5" s="5"/>
      <c r="G5" s="5"/>
      <c r="H5" s="5"/>
    </row>
    <row r="6" spans="1:8">
      <c r="A6" t="s">
        <v>5</v>
      </c>
      <c r="B6">
        <f>COUNTIF(Team!E2:E100,"Ja")</f>
        <v>6</v>
      </c>
      <c r="D6" s="5"/>
      <c r="E6" s="5"/>
      <c r="F6" s="5"/>
      <c r="G6" s="5"/>
      <c r="H6" s="5"/>
    </row>
    <row r="7" spans="1:8">
      <c r="A7" t="s">
        <v>6</v>
      </c>
      <c r="B7">
        <f>COUNTA(Arbejdsopgaver!C3:C201)</f>
        <v>28</v>
      </c>
      <c r="D7" s="5"/>
      <c r="E7" s="5"/>
      <c r="F7" s="5"/>
      <c r="G7" s="5"/>
      <c r="H7" s="5"/>
    </row>
    <row r="8" spans="1:8">
      <c r="A8" t="s">
        <v>7</v>
      </c>
      <c r="B8">
        <f>COUNTIF(Arbejdsopgaver!O3:O201,"Ja")</f>
        <v>24</v>
      </c>
      <c r="D8" s="5"/>
      <c r="E8" s="5"/>
      <c r="F8" s="5"/>
      <c r="G8" s="5"/>
      <c r="H8" s="5"/>
    </row>
    <row r="9" spans="1:8">
      <c r="A9" t="s">
        <v>8</v>
      </c>
      <c r="B9">
        <f>COUNTA(Workspaces!B2:B100)</f>
        <v>6</v>
      </c>
      <c r="D9" s="5"/>
      <c r="E9" s="5"/>
      <c r="F9" s="5"/>
      <c r="G9" s="5"/>
      <c r="H9" s="5"/>
    </row>
    <row r="10" spans="1:8">
      <c r="A10" t="s">
        <v>9</v>
      </c>
      <c r="B10">
        <f>COUNTA('Plan &amp; Projekter'!B2:B200)</f>
        <v>3</v>
      </c>
    </row>
  </sheetData>
  <mergeCells count="4">
    <mergeCell ref="A1:H1"/>
    <mergeCell ref="A2:H2"/>
    <mergeCell ref="D4:H4"/>
    <mergeCell ref="D5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B8" sqref="B8"/>
    </sheetView>
  </sheetViews>
  <sheetFormatPr defaultRowHeight="14"/>
  <cols>
    <col min="1" max="1" width="34" customWidth="1"/>
    <col min="2" max="2" width="75" customWidth="1"/>
  </cols>
  <sheetData>
    <row r="1" spans="1:6" ht="23">
      <c r="A1" s="9" t="s">
        <v>10</v>
      </c>
      <c r="B1" s="5"/>
      <c r="C1" s="5"/>
      <c r="D1" s="5"/>
      <c r="E1" s="5"/>
      <c r="F1" s="5"/>
    </row>
    <row r="3" spans="1:6" ht="17.399999999999999" customHeight="1">
      <c r="A3" s="1" t="s">
        <v>11</v>
      </c>
      <c r="B3" s="1" t="s">
        <v>12</v>
      </c>
    </row>
    <row r="4" spans="1:6">
      <c r="A4" t="s">
        <v>13</v>
      </c>
      <c r="B4" t="s">
        <v>14</v>
      </c>
    </row>
    <row r="5" spans="1:6">
      <c r="A5" t="s">
        <v>15</v>
      </c>
      <c r="B5" t="s">
        <v>16</v>
      </c>
    </row>
    <row r="6" spans="1:6">
      <c r="A6" t="s">
        <v>8</v>
      </c>
      <c r="B6" t="s">
        <v>17</v>
      </c>
    </row>
    <row r="7" spans="1:6">
      <c r="A7" t="s">
        <v>18</v>
      </c>
      <c r="B7" t="s">
        <v>19</v>
      </c>
    </row>
    <row r="8" spans="1:6">
      <c r="A8" t="s">
        <v>20</v>
      </c>
      <c r="B8" t="s">
        <v>21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F20" sqref="F20"/>
    </sheetView>
  </sheetViews>
  <sheetFormatPr defaultRowHeight="14"/>
  <cols>
    <col min="1" max="8" width="17" customWidth="1"/>
  </cols>
  <sheetData>
    <row r="1" spans="1:8" ht="17.399999999999999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37</v>
      </c>
      <c r="H2" s="2" t="s">
        <v>218</v>
      </c>
    </row>
    <row r="3" spans="1:8">
      <c r="A3" t="s">
        <v>36</v>
      </c>
      <c r="B3" t="s">
        <v>37</v>
      </c>
      <c r="C3" t="s">
        <v>38</v>
      </c>
      <c r="D3" t="s">
        <v>39</v>
      </c>
      <c r="E3" t="s">
        <v>34</v>
      </c>
      <c r="F3" t="s">
        <v>35</v>
      </c>
      <c r="G3">
        <v>37</v>
      </c>
      <c r="H3" s="2" t="s">
        <v>219</v>
      </c>
    </row>
    <row r="4" spans="1:8">
      <c r="A4" t="s">
        <v>40</v>
      </c>
      <c r="B4" t="s">
        <v>41</v>
      </c>
      <c r="C4" t="s">
        <v>42</v>
      </c>
      <c r="D4" t="s">
        <v>43</v>
      </c>
      <c r="E4" t="s">
        <v>34</v>
      </c>
      <c r="F4" t="s">
        <v>35</v>
      </c>
      <c r="G4">
        <v>37</v>
      </c>
      <c r="H4" s="2" t="s">
        <v>220</v>
      </c>
    </row>
    <row r="5" spans="1:8">
      <c r="A5" t="s">
        <v>45</v>
      </c>
      <c r="B5" t="s">
        <v>46</v>
      </c>
      <c r="C5" t="s">
        <v>47</v>
      </c>
      <c r="D5" t="s">
        <v>48</v>
      </c>
      <c r="E5" t="s">
        <v>34</v>
      </c>
      <c r="F5" t="s">
        <v>44</v>
      </c>
      <c r="G5">
        <v>37</v>
      </c>
      <c r="H5" s="2" t="s">
        <v>221</v>
      </c>
    </row>
    <row r="6" spans="1:8">
      <c r="A6" t="s">
        <v>49</v>
      </c>
      <c r="B6" t="s">
        <v>50</v>
      </c>
      <c r="C6" t="s">
        <v>51</v>
      </c>
      <c r="D6" t="s">
        <v>52</v>
      </c>
      <c r="E6" t="s">
        <v>34</v>
      </c>
      <c r="F6" t="s">
        <v>35</v>
      </c>
      <c r="G6">
        <v>15</v>
      </c>
      <c r="H6" s="2" t="s">
        <v>222</v>
      </c>
    </row>
    <row r="7" spans="1:8">
      <c r="A7" t="s">
        <v>243</v>
      </c>
      <c r="B7" t="s">
        <v>244</v>
      </c>
      <c r="C7" t="s">
        <v>245</v>
      </c>
      <c r="D7" t="s">
        <v>265</v>
      </c>
      <c r="E7" t="s">
        <v>34</v>
      </c>
      <c r="F7" t="s">
        <v>35</v>
      </c>
      <c r="G7">
        <v>0</v>
      </c>
    </row>
  </sheetData>
  <dataValidations count="3">
    <dataValidation type="list" sqref="D2:D100" xr:uid="{00000000-0002-0000-0200-000000000000}">
      <formula1>"Blå,Grøn,Orange,Lilla,Grå,Turkis,Rød"</formula1>
    </dataValidation>
    <dataValidation type="list" sqref="E2:E100" xr:uid="{00000000-0002-0000-0200-000001000000}">
      <formula1>"Ja,Nej"</formula1>
    </dataValidation>
    <dataValidation type="list" sqref="F2:F100" xr:uid="{00000000-0002-0000-0200-000002000000}">
      <formula1>"Medarbejder,Administrator,Systemadministrator"</formula1>
    </dataValidation>
  </dataValidations>
  <hyperlinks>
    <hyperlink ref="H2" r:id="rId1" xr:uid="{24997B19-439F-4596-9BAE-C464B827BA41}"/>
    <hyperlink ref="H3" r:id="rId2" xr:uid="{329337D5-F08C-4D5B-A96B-7DA9A59FF4E7}"/>
    <hyperlink ref="H4" r:id="rId3" xr:uid="{A4FD2842-866C-44A1-B83E-38AAD3EB3A9A}"/>
    <hyperlink ref="H5" r:id="rId4" xr:uid="{0489D793-6BCD-464D-812F-563536603D34}"/>
    <hyperlink ref="H6" r:id="rId5" xr:uid="{EE13FCD1-73BD-48F5-9257-5F79FE07B79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tabSelected="1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H26" sqref="H26"/>
    </sheetView>
  </sheetViews>
  <sheetFormatPr defaultRowHeight="14"/>
  <cols>
    <col min="1" max="1" width="12" customWidth="1"/>
    <col min="2" max="2" width="18" customWidth="1"/>
    <col min="3" max="3" width="43.9140625" customWidth="1"/>
    <col min="4" max="4" width="16" customWidth="1"/>
    <col min="5" max="5" width="18" customWidth="1"/>
    <col min="6" max="6" width="12" customWidth="1"/>
    <col min="7" max="8" width="14" customWidth="1"/>
    <col min="9" max="9" width="12" customWidth="1"/>
    <col min="10" max="12" width="16" customWidth="1"/>
    <col min="13" max="13" width="14" customWidth="1"/>
    <col min="14" max="14" width="48.9140625" customWidth="1"/>
    <col min="15" max="15" width="10" customWidth="1"/>
  </cols>
  <sheetData>
    <row r="1" spans="1:15" ht="17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3" t="s">
        <v>66</v>
      </c>
      <c r="O1" s="1" t="s">
        <v>26</v>
      </c>
    </row>
    <row r="2" spans="1:15">
      <c r="A2" t="s">
        <v>287</v>
      </c>
      <c r="B2" t="s">
        <v>68</v>
      </c>
      <c r="C2" t="s">
        <v>286</v>
      </c>
      <c r="G2" t="s">
        <v>73</v>
      </c>
      <c r="H2" t="s">
        <v>284</v>
      </c>
      <c r="I2" t="s">
        <v>34</v>
      </c>
      <c r="J2" t="s">
        <v>37</v>
      </c>
      <c r="M2">
        <v>10</v>
      </c>
      <c r="N2" t="s">
        <v>285</v>
      </c>
    </row>
    <row r="3" spans="1:15">
      <c r="A3" t="s">
        <v>67</v>
      </c>
      <c r="B3" t="s">
        <v>223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t="s">
        <v>34</v>
      </c>
      <c r="J3" t="s">
        <v>41</v>
      </c>
      <c r="K3" t="s">
        <v>37</v>
      </c>
      <c r="L3" t="s">
        <v>46</v>
      </c>
      <c r="M3">
        <v>30</v>
      </c>
      <c r="N3" t="s">
        <v>269</v>
      </c>
      <c r="O3" t="s">
        <v>34</v>
      </c>
    </row>
    <row r="4" spans="1:15">
      <c r="A4" t="s">
        <v>75</v>
      </c>
      <c r="B4" t="s">
        <v>223</v>
      </c>
      <c r="C4" t="s">
        <v>224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34</v>
      </c>
      <c r="J4" t="s">
        <v>37</v>
      </c>
      <c r="K4" t="s">
        <v>31</v>
      </c>
      <c r="L4" t="s">
        <v>46</v>
      </c>
      <c r="M4">
        <v>30</v>
      </c>
      <c r="N4" t="s">
        <v>268</v>
      </c>
      <c r="O4" t="s">
        <v>34</v>
      </c>
    </row>
    <row r="5" spans="1:15">
      <c r="A5" t="s">
        <v>76</v>
      </c>
      <c r="B5" t="s">
        <v>223</v>
      </c>
      <c r="C5" t="s">
        <v>249</v>
      </c>
      <c r="D5" t="s">
        <v>227</v>
      </c>
      <c r="E5" t="s">
        <v>78</v>
      </c>
      <c r="F5" t="s">
        <v>72</v>
      </c>
      <c r="G5" t="s">
        <v>73</v>
      </c>
      <c r="H5" t="s">
        <v>79</v>
      </c>
      <c r="I5" t="s">
        <v>34</v>
      </c>
      <c r="J5" t="s">
        <v>31</v>
      </c>
      <c r="K5" t="s">
        <v>37</v>
      </c>
      <c r="L5" t="s">
        <v>41</v>
      </c>
      <c r="M5">
        <v>30</v>
      </c>
      <c r="N5" t="s">
        <v>250</v>
      </c>
      <c r="O5" t="s">
        <v>34</v>
      </c>
    </row>
    <row r="6" spans="1:15">
      <c r="A6" t="s">
        <v>81</v>
      </c>
      <c r="B6" t="s">
        <v>68</v>
      </c>
      <c r="C6" t="s">
        <v>82</v>
      </c>
      <c r="D6" t="s">
        <v>83</v>
      </c>
      <c r="E6" t="s">
        <v>84</v>
      </c>
      <c r="F6" t="s">
        <v>72</v>
      </c>
      <c r="G6" t="s">
        <v>73</v>
      </c>
      <c r="H6" t="s">
        <v>87</v>
      </c>
      <c r="I6" t="s">
        <v>80</v>
      </c>
      <c r="J6" t="s">
        <v>41</v>
      </c>
      <c r="K6" t="s">
        <v>37</v>
      </c>
      <c r="L6" t="s">
        <v>31</v>
      </c>
      <c r="M6">
        <v>120</v>
      </c>
      <c r="N6" t="s">
        <v>267</v>
      </c>
      <c r="O6" t="s">
        <v>34</v>
      </c>
    </row>
    <row r="7" spans="1:15">
      <c r="A7" t="s">
        <v>85</v>
      </c>
      <c r="B7" t="s">
        <v>223</v>
      </c>
      <c r="C7" t="s">
        <v>248</v>
      </c>
      <c r="D7" t="s">
        <v>227</v>
      </c>
      <c r="E7" t="s">
        <v>78</v>
      </c>
      <c r="F7" t="s">
        <v>91</v>
      </c>
      <c r="G7" t="s">
        <v>113</v>
      </c>
      <c r="H7" t="s">
        <v>114</v>
      </c>
      <c r="I7" t="s">
        <v>80</v>
      </c>
      <c r="J7" t="s">
        <v>50</v>
      </c>
      <c r="K7" t="s">
        <v>31</v>
      </c>
      <c r="L7" t="s">
        <v>244</v>
      </c>
      <c r="M7">
        <v>120</v>
      </c>
      <c r="N7" t="s">
        <v>251</v>
      </c>
      <c r="O7" t="s">
        <v>34</v>
      </c>
    </row>
    <row r="8" spans="1:15">
      <c r="A8" t="s">
        <v>88</v>
      </c>
      <c r="B8" t="s">
        <v>225</v>
      </c>
      <c r="C8" t="s">
        <v>255</v>
      </c>
      <c r="D8" t="s">
        <v>89</v>
      </c>
      <c r="E8" t="s">
        <v>90</v>
      </c>
      <c r="F8" t="s">
        <v>91</v>
      </c>
      <c r="G8" t="s">
        <v>73</v>
      </c>
      <c r="H8" t="s">
        <v>87</v>
      </c>
      <c r="I8" t="s">
        <v>80</v>
      </c>
      <c r="J8" t="s">
        <v>31</v>
      </c>
      <c r="K8" t="s">
        <v>37</v>
      </c>
      <c r="L8" t="s">
        <v>41</v>
      </c>
      <c r="M8">
        <v>60</v>
      </c>
      <c r="N8" t="s">
        <v>266</v>
      </c>
      <c r="O8" t="s">
        <v>34</v>
      </c>
    </row>
    <row r="9" spans="1:15">
      <c r="A9" t="s">
        <v>92</v>
      </c>
      <c r="B9" t="s">
        <v>225</v>
      </c>
      <c r="C9" t="s">
        <v>254</v>
      </c>
      <c r="D9" t="s">
        <v>89</v>
      </c>
      <c r="E9" t="s">
        <v>90</v>
      </c>
      <c r="F9" t="s">
        <v>93</v>
      </c>
      <c r="G9" t="s">
        <v>73</v>
      </c>
      <c r="H9" t="s">
        <v>87</v>
      </c>
      <c r="I9" t="s">
        <v>80</v>
      </c>
      <c r="J9" t="s">
        <v>37</v>
      </c>
      <c r="K9" t="s">
        <v>31</v>
      </c>
      <c r="L9" t="s">
        <v>46</v>
      </c>
      <c r="M9">
        <v>60</v>
      </c>
      <c r="N9" t="s">
        <v>266</v>
      </c>
      <c r="O9" t="s">
        <v>34</v>
      </c>
    </row>
    <row r="10" spans="1:15">
      <c r="A10" t="s">
        <v>94</v>
      </c>
      <c r="B10" t="s">
        <v>95</v>
      </c>
      <c r="C10" t="s">
        <v>228</v>
      </c>
      <c r="D10" t="s">
        <v>96</v>
      </c>
      <c r="E10" t="s">
        <v>97</v>
      </c>
      <c r="F10" t="s">
        <v>72</v>
      </c>
      <c r="G10" t="s">
        <v>73</v>
      </c>
      <c r="H10" t="s">
        <v>87</v>
      </c>
      <c r="I10" t="s">
        <v>80</v>
      </c>
      <c r="J10" t="s">
        <v>31</v>
      </c>
      <c r="K10" t="s">
        <v>46</v>
      </c>
      <c r="L10" t="s">
        <v>41</v>
      </c>
      <c r="M10">
        <v>90</v>
      </c>
      <c r="N10" t="s">
        <v>270</v>
      </c>
      <c r="O10" t="s">
        <v>34</v>
      </c>
    </row>
    <row r="11" spans="1:15">
      <c r="A11" t="s">
        <v>98</v>
      </c>
      <c r="B11" t="s">
        <v>223</v>
      </c>
      <c r="C11" t="s">
        <v>100</v>
      </c>
      <c r="D11" t="s">
        <v>70</v>
      </c>
      <c r="E11" t="s">
        <v>71</v>
      </c>
      <c r="F11" t="s">
        <v>91</v>
      </c>
      <c r="G11" t="s">
        <v>101</v>
      </c>
      <c r="H11" t="s">
        <v>87</v>
      </c>
      <c r="I11" t="s">
        <v>80</v>
      </c>
      <c r="J11" t="s">
        <v>31</v>
      </c>
      <c r="K11" t="s">
        <v>37</v>
      </c>
      <c r="L11" t="s">
        <v>41</v>
      </c>
      <c r="M11">
        <v>60</v>
      </c>
      <c r="N11" t="s">
        <v>277</v>
      </c>
      <c r="O11" t="s">
        <v>34</v>
      </c>
    </row>
    <row r="12" spans="1:15">
      <c r="A12" t="s">
        <v>102</v>
      </c>
      <c r="B12" t="s">
        <v>223</v>
      </c>
      <c r="C12" t="s">
        <v>103</v>
      </c>
      <c r="D12" t="s">
        <v>70</v>
      </c>
      <c r="E12" t="s">
        <v>71</v>
      </c>
      <c r="F12" t="s">
        <v>93</v>
      </c>
      <c r="G12" t="s">
        <v>101</v>
      </c>
      <c r="H12" t="s">
        <v>87</v>
      </c>
      <c r="I12" t="s">
        <v>80</v>
      </c>
      <c r="J12" t="s">
        <v>37</v>
      </c>
      <c r="K12" t="s">
        <v>31</v>
      </c>
      <c r="L12" t="s">
        <v>46</v>
      </c>
      <c r="M12">
        <v>60</v>
      </c>
      <c r="N12" t="s">
        <v>242</v>
      </c>
      <c r="O12" t="s">
        <v>34</v>
      </c>
    </row>
    <row r="13" spans="1:15">
      <c r="A13" t="s">
        <v>104</v>
      </c>
      <c r="B13" t="s">
        <v>105</v>
      </c>
      <c r="C13" t="s">
        <v>257</v>
      </c>
      <c r="D13" t="s">
        <v>89</v>
      </c>
      <c r="E13" t="s">
        <v>106</v>
      </c>
      <c r="F13" t="s">
        <v>91</v>
      </c>
      <c r="G13" t="s">
        <v>101</v>
      </c>
      <c r="H13" t="s">
        <v>87</v>
      </c>
      <c r="I13" t="s">
        <v>80</v>
      </c>
      <c r="J13" t="s">
        <v>31</v>
      </c>
      <c r="K13" t="s">
        <v>41</v>
      </c>
      <c r="L13" t="s">
        <v>37</v>
      </c>
      <c r="M13">
        <v>60</v>
      </c>
      <c r="N13" t="s">
        <v>275</v>
      </c>
      <c r="O13" t="s">
        <v>34</v>
      </c>
    </row>
    <row r="14" spans="1:15">
      <c r="A14" t="s">
        <v>107</v>
      </c>
      <c r="B14" t="s">
        <v>105</v>
      </c>
      <c r="C14" t="s">
        <v>256</v>
      </c>
      <c r="D14" t="s">
        <v>89</v>
      </c>
      <c r="E14" t="s">
        <v>106</v>
      </c>
      <c r="F14" t="s">
        <v>93</v>
      </c>
      <c r="G14" t="s">
        <v>101</v>
      </c>
      <c r="H14" t="s">
        <v>87</v>
      </c>
      <c r="I14" t="s">
        <v>80</v>
      </c>
      <c r="J14" t="s">
        <v>46</v>
      </c>
      <c r="K14" t="s">
        <v>37</v>
      </c>
      <c r="L14" t="s">
        <v>41</v>
      </c>
      <c r="M14">
        <v>60</v>
      </c>
      <c r="N14" t="s">
        <v>260</v>
      </c>
      <c r="O14" t="s">
        <v>34</v>
      </c>
    </row>
    <row r="15" spans="1:15">
      <c r="A15" t="s">
        <v>108</v>
      </c>
      <c r="B15" t="s">
        <v>223</v>
      </c>
      <c r="C15" t="s">
        <v>246</v>
      </c>
      <c r="D15" t="s">
        <v>227</v>
      </c>
      <c r="E15" t="s">
        <v>78</v>
      </c>
      <c r="F15" t="s">
        <v>72</v>
      </c>
      <c r="G15" t="s">
        <v>101</v>
      </c>
      <c r="H15" t="s">
        <v>79</v>
      </c>
      <c r="I15" t="s">
        <v>80</v>
      </c>
      <c r="J15" t="s">
        <v>31</v>
      </c>
      <c r="K15" t="s">
        <v>50</v>
      </c>
      <c r="L15" t="s">
        <v>46</v>
      </c>
      <c r="M15">
        <v>60</v>
      </c>
      <c r="N15" t="s">
        <v>247</v>
      </c>
      <c r="O15" t="s">
        <v>34</v>
      </c>
    </row>
    <row r="16" spans="1:15">
      <c r="A16" t="s">
        <v>110</v>
      </c>
      <c r="B16" t="s">
        <v>109</v>
      </c>
      <c r="C16" t="s">
        <v>258</v>
      </c>
      <c r="D16" t="s">
        <v>227</v>
      </c>
      <c r="E16" t="s">
        <v>78</v>
      </c>
      <c r="F16" t="s">
        <v>91</v>
      </c>
      <c r="G16" t="s">
        <v>101</v>
      </c>
      <c r="H16" t="s">
        <v>87</v>
      </c>
      <c r="I16" t="s">
        <v>80</v>
      </c>
      <c r="J16" t="s">
        <v>50</v>
      </c>
      <c r="K16" t="s">
        <v>41</v>
      </c>
      <c r="L16" t="s">
        <v>37</v>
      </c>
      <c r="M16">
        <v>30</v>
      </c>
      <c r="N16" t="s">
        <v>271</v>
      </c>
      <c r="O16" t="s">
        <v>34</v>
      </c>
    </row>
    <row r="17" spans="1:15">
      <c r="A17" t="s">
        <v>111</v>
      </c>
      <c r="B17" t="s">
        <v>223</v>
      </c>
      <c r="C17" t="s">
        <v>229</v>
      </c>
      <c r="D17" t="s">
        <v>227</v>
      </c>
      <c r="E17" t="s">
        <v>78</v>
      </c>
      <c r="F17" t="s">
        <v>72</v>
      </c>
      <c r="G17" t="s">
        <v>113</v>
      </c>
      <c r="H17" t="s">
        <v>114</v>
      </c>
      <c r="I17" t="s">
        <v>80</v>
      </c>
      <c r="J17" t="s">
        <v>244</v>
      </c>
      <c r="K17" t="s">
        <v>244</v>
      </c>
      <c r="L17" t="s">
        <v>244</v>
      </c>
      <c r="M17">
        <v>90</v>
      </c>
      <c r="N17" t="s">
        <v>252</v>
      </c>
      <c r="O17" t="s">
        <v>34</v>
      </c>
    </row>
    <row r="18" spans="1:15">
      <c r="A18" t="s">
        <v>217</v>
      </c>
      <c r="B18" t="s">
        <v>78</v>
      </c>
      <c r="C18" t="s">
        <v>226</v>
      </c>
      <c r="D18" t="s">
        <v>83</v>
      </c>
      <c r="E18" t="s">
        <v>78</v>
      </c>
      <c r="F18" t="s">
        <v>91</v>
      </c>
      <c r="G18" t="s">
        <v>101</v>
      </c>
      <c r="H18" t="s">
        <v>87</v>
      </c>
      <c r="I18" t="s">
        <v>80</v>
      </c>
      <c r="J18" t="s">
        <v>50</v>
      </c>
      <c r="K18" t="s">
        <v>37</v>
      </c>
      <c r="L18" t="s">
        <v>41</v>
      </c>
      <c r="M18">
        <v>60</v>
      </c>
      <c r="N18" t="s">
        <v>261</v>
      </c>
      <c r="O18" t="s">
        <v>34</v>
      </c>
    </row>
    <row r="19" spans="1:15">
      <c r="A19" t="s">
        <v>230</v>
      </c>
      <c r="B19" t="s">
        <v>68</v>
      </c>
      <c r="C19" t="s">
        <v>82</v>
      </c>
      <c r="D19" t="s">
        <v>83</v>
      </c>
      <c r="E19" t="s">
        <v>84</v>
      </c>
      <c r="F19" t="s">
        <v>72</v>
      </c>
      <c r="G19" t="s">
        <v>73</v>
      </c>
      <c r="H19" t="s">
        <v>87</v>
      </c>
      <c r="I19" t="s">
        <v>80</v>
      </c>
      <c r="J19" t="s">
        <v>37</v>
      </c>
      <c r="K19" t="s">
        <v>41</v>
      </c>
      <c r="L19" t="s">
        <v>46</v>
      </c>
      <c r="M19">
        <v>120</v>
      </c>
      <c r="N19" t="s">
        <v>272</v>
      </c>
      <c r="O19" t="s">
        <v>34</v>
      </c>
    </row>
    <row r="20" spans="1:15">
      <c r="A20" t="s">
        <v>234</v>
      </c>
      <c r="B20" t="s">
        <v>68</v>
      </c>
      <c r="C20" t="s">
        <v>82</v>
      </c>
      <c r="D20" t="s">
        <v>83</v>
      </c>
      <c r="E20" t="s">
        <v>84</v>
      </c>
      <c r="F20" t="s">
        <v>72</v>
      </c>
      <c r="G20" t="s">
        <v>73</v>
      </c>
      <c r="H20" t="s">
        <v>87</v>
      </c>
      <c r="I20" t="s">
        <v>80</v>
      </c>
      <c r="J20" t="s">
        <v>31</v>
      </c>
      <c r="K20" t="s">
        <v>50</v>
      </c>
      <c r="L20" t="s">
        <v>37</v>
      </c>
      <c r="M20">
        <v>120</v>
      </c>
      <c r="N20" t="s">
        <v>241</v>
      </c>
      <c r="O20" t="s">
        <v>34</v>
      </c>
    </row>
    <row r="21" spans="1:15">
      <c r="A21" t="s">
        <v>235</v>
      </c>
      <c r="B21" t="s">
        <v>223</v>
      </c>
      <c r="C21" t="s">
        <v>231</v>
      </c>
      <c r="D21" t="s">
        <v>227</v>
      </c>
      <c r="E21" t="s">
        <v>78</v>
      </c>
      <c r="F21" t="s">
        <v>91</v>
      </c>
      <c r="G21" t="s">
        <v>101</v>
      </c>
      <c r="H21" t="s">
        <v>87</v>
      </c>
      <c r="I21" t="s">
        <v>80</v>
      </c>
      <c r="J21" t="s">
        <v>37</v>
      </c>
      <c r="K21" t="s">
        <v>41</v>
      </c>
      <c r="L21" t="s">
        <v>46</v>
      </c>
      <c r="M21">
        <v>225</v>
      </c>
      <c r="N21" t="s">
        <v>276</v>
      </c>
      <c r="O21" t="s">
        <v>34</v>
      </c>
    </row>
    <row r="22" spans="1:15">
      <c r="A22" t="s">
        <v>236</v>
      </c>
      <c r="B22" t="s">
        <v>223</v>
      </c>
      <c r="C22" t="s">
        <v>232</v>
      </c>
      <c r="D22" t="s">
        <v>227</v>
      </c>
      <c r="E22" t="s">
        <v>78</v>
      </c>
      <c r="F22" t="s">
        <v>91</v>
      </c>
      <c r="G22" t="s">
        <v>101</v>
      </c>
      <c r="H22" t="s">
        <v>87</v>
      </c>
      <c r="I22" t="s">
        <v>80</v>
      </c>
      <c r="J22" t="s">
        <v>41</v>
      </c>
      <c r="K22" t="s">
        <v>37</v>
      </c>
      <c r="L22" t="s">
        <v>46</v>
      </c>
      <c r="M22">
        <v>225</v>
      </c>
      <c r="N22" t="s">
        <v>276</v>
      </c>
      <c r="O22" t="s">
        <v>34</v>
      </c>
    </row>
    <row r="23" spans="1:15">
      <c r="A23" t="s">
        <v>237</v>
      </c>
      <c r="B23" t="s">
        <v>223</v>
      </c>
      <c r="C23" t="s">
        <v>233</v>
      </c>
      <c r="D23" t="s">
        <v>227</v>
      </c>
      <c r="E23" t="s">
        <v>78</v>
      </c>
      <c r="F23" t="s">
        <v>91</v>
      </c>
      <c r="G23" t="s">
        <v>101</v>
      </c>
      <c r="H23" t="s">
        <v>87</v>
      </c>
      <c r="I23" t="s">
        <v>80</v>
      </c>
      <c r="J23" t="s">
        <v>31</v>
      </c>
      <c r="K23" t="s">
        <v>50</v>
      </c>
      <c r="L23" t="s">
        <v>46</v>
      </c>
      <c r="M23">
        <v>225</v>
      </c>
      <c r="N23" t="s">
        <v>276</v>
      </c>
      <c r="O23" t="s">
        <v>34</v>
      </c>
    </row>
    <row r="24" spans="1:15">
      <c r="A24" t="s">
        <v>238</v>
      </c>
      <c r="B24" t="s">
        <v>223</v>
      </c>
      <c r="C24" t="s">
        <v>231</v>
      </c>
      <c r="D24" t="s">
        <v>227</v>
      </c>
      <c r="E24" t="s">
        <v>78</v>
      </c>
      <c r="F24" t="s">
        <v>93</v>
      </c>
      <c r="G24" t="s">
        <v>101</v>
      </c>
      <c r="H24" t="s">
        <v>87</v>
      </c>
      <c r="I24" t="s">
        <v>80</v>
      </c>
      <c r="J24" t="s">
        <v>37</v>
      </c>
      <c r="K24" t="s">
        <v>41</v>
      </c>
      <c r="L24" t="s">
        <v>46</v>
      </c>
      <c r="M24">
        <v>225</v>
      </c>
      <c r="N24" t="s">
        <v>273</v>
      </c>
      <c r="O24" t="s">
        <v>34</v>
      </c>
    </row>
    <row r="25" spans="1:15">
      <c r="A25" t="s">
        <v>239</v>
      </c>
      <c r="B25" t="s">
        <v>223</v>
      </c>
      <c r="C25" t="s">
        <v>232</v>
      </c>
      <c r="D25" t="s">
        <v>227</v>
      </c>
      <c r="E25" t="s">
        <v>78</v>
      </c>
      <c r="F25" t="s">
        <v>93</v>
      </c>
      <c r="G25" t="s">
        <v>101</v>
      </c>
      <c r="H25" t="s">
        <v>87</v>
      </c>
      <c r="I25" t="s">
        <v>80</v>
      </c>
      <c r="J25" t="s">
        <v>41</v>
      </c>
      <c r="K25" t="s">
        <v>37</v>
      </c>
      <c r="L25" t="s">
        <v>46</v>
      </c>
      <c r="M25">
        <v>225</v>
      </c>
      <c r="N25" t="s">
        <v>273</v>
      </c>
      <c r="O25" t="s">
        <v>34</v>
      </c>
    </row>
    <row r="26" spans="1:15">
      <c r="A26" t="s">
        <v>240</v>
      </c>
      <c r="B26" t="s">
        <v>223</v>
      </c>
      <c r="C26" t="s">
        <v>233</v>
      </c>
      <c r="D26" t="s">
        <v>227</v>
      </c>
      <c r="E26" t="s">
        <v>78</v>
      </c>
      <c r="F26" t="s">
        <v>93</v>
      </c>
      <c r="G26" t="s">
        <v>101</v>
      </c>
      <c r="H26" t="s">
        <v>87</v>
      </c>
      <c r="I26" t="s">
        <v>80</v>
      </c>
      <c r="J26" t="s">
        <v>31</v>
      </c>
      <c r="K26" t="s">
        <v>50</v>
      </c>
      <c r="L26" t="s">
        <v>46</v>
      </c>
      <c r="M26">
        <v>225</v>
      </c>
      <c r="N26" t="s">
        <v>273</v>
      </c>
      <c r="O26" t="s">
        <v>34</v>
      </c>
    </row>
    <row r="27" spans="1:15">
      <c r="A27" t="s">
        <v>253</v>
      </c>
      <c r="B27" t="s">
        <v>109</v>
      </c>
      <c r="C27" t="s">
        <v>259</v>
      </c>
      <c r="D27" t="s">
        <v>227</v>
      </c>
      <c r="E27" t="s">
        <v>78</v>
      </c>
      <c r="F27" t="s">
        <v>91</v>
      </c>
      <c r="G27" t="s">
        <v>101</v>
      </c>
      <c r="H27" t="s">
        <v>87</v>
      </c>
      <c r="I27" t="s">
        <v>80</v>
      </c>
      <c r="J27" t="s">
        <v>31</v>
      </c>
      <c r="K27" t="s">
        <v>37</v>
      </c>
      <c r="L27" t="s">
        <v>41</v>
      </c>
      <c r="M27">
        <v>30</v>
      </c>
      <c r="N27" t="s">
        <v>274</v>
      </c>
    </row>
    <row r="28" spans="1:15">
      <c r="A28" t="s">
        <v>262</v>
      </c>
      <c r="B28" t="s">
        <v>68</v>
      </c>
      <c r="C28" t="s">
        <v>264</v>
      </c>
      <c r="D28" t="s">
        <v>227</v>
      </c>
      <c r="E28" t="s">
        <v>78</v>
      </c>
      <c r="F28" t="s">
        <v>72</v>
      </c>
      <c r="G28" t="s">
        <v>73</v>
      </c>
      <c r="H28" t="s">
        <v>87</v>
      </c>
      <c r="I28" t="s">
        <v>34</v>
      </c>
      <c r="J28" t="s">
        <v>50</v>
      </c>
      <c r="K28" t="s">
        <v>244</v>
      </c>
      <c r="L28" t="s">
        <v>244</v>
      </c>
      <c r="M28">
        <v>15</v>
      </c>
      <c r="N28" t="s">
        <v>263</v>
      </c>
    </row>
    <row r="29" spans="1:15">
      <c r="A29" t="s">
        <v>278</v>
      </c>
      <c r="B29" t="s">
        <v>68</v>
      </c>
      <c r="C29" t="s">
        <v>279</v>
      </c>
      <c r="D29" t="s">
        <v>20</v>
      </c>
      <c r="E29" t="s">
        <v>78</v>
      </c>
      <c r="F29" t="s">
        <v>93</v>
      </c>
      <c r="G29" t="s">
        <v>73</v>
      </c>
      <c r="H29" t="s">
        <v>79</v>
      </c>
      <c r="I29" t="s">
        <v>34</v>
      </c>
      <c r="J29" t="s">
        <v>41</v>
      </c>
      <c r="K29" t="s">
        <v>37</v>
      </c>
      <c r="L29" t="s">
        <v>46</v>
      </c>
      <c r="M29">
        <v>30</v>
      </c>
      <c r="N29" t="s">
        <v>282</v>
      </c>
    </row>
    <row r="30" spans="1:15">
      <c r="A30" t="s">
        <v>281</v>
      </c>
      <c r="B30" t="s">
        <v>68</v>
      </c>
      <c r="C30" t="s">
        <v>280</v>
      </c>
      <c r="D30" t="s">
        <v>20</v>
      </c>
      <c r="E30" t="s">
        <v>78</v>
      </c>
      <c r="F30" t="s">
        <v>91</v>
      </c>
      <c r="G30" t="s">
        <v>73</v>
      </c>
      <c r="H30" t="s">
        <v>79</v>
      </c>
      <c r="I30" t="s">
        <v>34</v>
      </c>
      <c r="J30" t="s">
        <v>50</v>
      </c>
      <c r="K30" t="s">
        <v>31</v>
      </c>
      <c r="L30" t="s">
        <v>46</v>
      </c>
      <c r="M30">
        <v>30</v>
      </c>
      <c r="N30" t="s">
        <v>282</v>
      </c>
    </row>
  </sheetData>
  <autoFilter ref="A1:O30" xr:uid="{00000000-0001-0000-0300-000000000000}">
    <sortState xmlns:xlrd2="http://schemas.microsoft.com/office/spreadsheetml/2017/richdata2" ref="A2:O30">
      <sortCondition ref="A1:A30"/>
    </sortState>
  </autoFilter>
  <dataValidations count="8">
    <dataValidation type="list" sqref="J2:J25 K2:L201 J27:J201" xr:uid="{00000000-0002-0000-0300-000007000000}">
      <formula1>"Jesper,Christine,Kirstine,Cecilie,Stine"</formula1>
    </dataValidation>
    <dataValidation type="list" sqref="B2:B201" xr:uid="{00000000-0002-0000-0300-000000000000}">
      <formula1>"Daily Operations,Enrichment,Launch,Compliance,Images,Navigation,GWP,Monthly"</formula1>
    </dataValidation>
    <dataValidation type="list" sqref="D2:D201" xr:uid="{00000000-0002-0000-0300-000001000000}">
      <formula1>"Inriver,ContentServ,DAM,Power BI,Outlook"</formula1>
    </dataValidation>
    <dataValidation type="list" sqref="E2:E201" xr:uid="{00000000-0002-0000-0300-000002000000}">
      <formula1>"Workflow,Enrichment,Encode,Launch Check,GWP Report,Inbox,CS"</formula1>
    </dataValidation>
    <dataValidation type="list" sqref="F2:F201" xr:uid="{00000000-0002-0000-0300-000003000000}">
      <formula1>"Group,MATAS,KICKS"</formula1>
    </dataValidation>
    <dataValidation type="list" sqref="G2:G201" xr:uid="{00000000-0002-0000-0300-000004000000}">
      <formula1>"Daglig,Ugentlig,Månedlig"</formula1>
    </dataValidation>
    <dataValidation type="list" sqref="H2:H201" xr:uid="{00000000-0002-0000-0300-000005000000}">
      <formula1>"Kritisk,Høj,Normal,Lav"</formula1>
    </dataValidation>
    <dataValidation type="list" sqref="I2:I201 O2:O201" xr:uid="{00000000-0002-0000-0300-000006000000}">
      <formula1>"Ja,Nej"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topLeftCell="B1" workbookViewId="0">
      <selection activeCell="E31" sqref="E31"/>
    </sheetView>
  </sheetViews>
  <sheetFormatPr defaultRowHeight="14"/>
  <cols>
    <col min="1" max="1" width="14" customWidth="1"/>
    <col min="2" max="2" width="16" customWidth="1"/>
    <col min="3" max="3" width="18" customWidth="1"/>
    <col min="4" max="4" width="10" customWidth="1"/>
    <col min="5" max="5" width="75" customWidth="1"/>
    <col min="6" max="6" width="18" customWidth="1"/>
    <col min="7" max="7" width="10" customWidth="1"/>
  </cols>
  <sheetData>
    <row r="1" spans="1:7" ht="17.399999999999999" customHeight="1">
      <c r="A1" s="1" t="s">
        <v>115</v>
      </c>
      <c r="B1" s="1" t="s">
        <v>56</v>
      </c>
      <c r="C1" s="1" t="s">
        <v>57</v>
      </c>
      <c r="D1" s="1" t="s">
        <v>116</v>
      </c>
      <c r="E1" s="1" t="s">
        <v>117</v>
      </c>
      <c r="F1" s="1" t="s">
        <v>118</v>
      </c>
      <c r="G1" s="1" t="s">
        <v>26</v>
      </c>
    </row>
    <row r="2" spans="1:7">
      <c r="A2" t="s">
        <v>119</v>
      </c>
      <c r="B2" t="s">
        <v>70</v>
      </c>
      <c r="C2" t="s">
        <v>71</v>
      </c>
      <c r="D2" t="s">
        <v>120</v>
      </c>
      <c r="E2" t="s">
        <v>121</v>
      </c>
      <c r="F2" t="s">
        <v>34</v>
      </c>
      <c r="G2" t="s">
        <v>34</v>
      </c>
    </row>
    <row r="3" spans="1:7">
      <c r="A3" t="s">
        <v>122</v>
      </c>
      <c r="B3" t="s">
        <v>96</v>
      </c>
      <c r="C3" t="s">
        <v>97</v>
      </c>
      <c r="D3" t="s">
        <v>123</v>
      </c>
      <c r="E3" t="s">
        <v>124</v>
      </c>
      <c r="F3" t="s">
        <v>34</v>
      </c>
      <c r="G3" t="s">
        <v>34</v>
      </c>
    </row>
    <row r="4" spans="1:7">
      <c r="A4" t="s">
        <v>125</v>
      </c>
      <c r="B4" t="s">
        <v>89</v>
      </c>
      <c r="C4" t="s">
        <v>90</v>
      </c>
      <c r="D4" t="s">
        <v>126</v>
      </c>
      <c r="E4" t="s">
        <v>127</v>
      </c>
      <c r="F4" t="s">
        <v>34</v>
      </c>
      <c r="G4" t="s">
        <v>34</v>
      </c>
    </row>
    <row r="5" spans="1:7">
      <c r="A5" t="s">
        <v>128</v>
      </c>
      <c r="B5" t="s">
        <v>89</v>
      </c>
      <c r="C5" t="s">
        <v>106</v>
      </c>
      <c r="D5" t="s">
        <v>126</v>
      </c>
      <c r="E5" t="s">
        <v>129</v>
      </c>
      <c r="F5" t="s">
        <v>34</v>
      </c>
      <c r="G5" t="s">
        <v>34</v>
      </c>
    </row>
    <row r="6" spans="1:7">
      <c r="A6" t="s">
        <v>130</v>
      </c>
      <c r="B6" t="s">
        <v>83</v>
      </c>
      <c r="C6" t="s">
        <v>84</v>
      </c>
      <c r="D6" t="s">
        <v>131</v>
      </c>
      <c r="F6" t="s">
        <v>34</v>
      </c>
      <c r="G6" t="s">
        <v>34</v>
      </c>
    </row>
    <row r="7" spans="1:7">
      <c r="A7" t="s">
        <v>132</v>
      </c>
      <c r="B7" t="s">
        <v>77</v>
      </c>
      <c r="C7" t="s">
        <v>78</v>
      </c>
      <c r="D7" t="s">
        <v>133</v>
      </c>
      <c r="E7" t="s">
        <v>134</v>
      </c>
      <c r="F7" t="s">
        <v>34</v>
      </c>
      <c r="G7" t="s">
        <v>34</v>
      </c>
    </row>
  </sheetData>
  <dataValidations count="3">
    <dataValidation type="list" sqref="B2:B100" xr:uid="{00000000-0002-0000-0400-000000000000}">
      <formula1>"Inriver,ContentServ,DAM,Power BI,Outlook"</formula1>
    </dataValidation>
    <dataValidation type="list" sqref="C2:C100" xr:uid="{00000000-0002-0000-0400-000001000000}">
      <formula1>"Workflow,Enrichment,Encode,Launch Check,GWP Report,Inbox,CS"</formula1>
    </dataValidation>
    <dataValidation type="list" sqref="F2:G100" xr:uid="{00000000-0002-0000-0400-000002000000}">
      <formula1>"Ja,Nej"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9"/>
  <sheetViews>
    <sheetView workbookViewId="0">
      <pane xSplit="1" ySplit="1" topLeftCell="AC2" activePane="bottomRight" state="frozen"/>
      <selection pane="topRight" activeCell="B1" sqref="B1"/>
      <selection pane="bottomLeft" activeCell="A2" sqref="A2"/>
      <selection pane="bottomRight" activeCell="AD12" sqref="AD12"/>
    </sheetView>
  </sheetViews>
  <sheetFormatPr defaultRowHeight="14"/>
  <cols>
    <col min="1" max="1" width="16" customWidth="1"/>
    <col min="2" max="53" width="11" customWidth="1"/>
  </cols>
  <sheetData>
    <row r="1" spans="1:53" ht="17.399999999999999" customHeight="1">
      <c r="A1" s="1" t="s">
        <v>23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1" t="s">
        <v>158</v>
      </c>
      <c r="Z1" s="1" t="s">
        <v>159</v>
      </c>
      <c r="AA1" s="1" t="s">
        <v>160</v>
      </c>
      <c r="AB1" s="1" t="s">
        <v>161</v>
      </c>
      <c r="AC1" s="1" t="s">
        <v>162</v>
      </c>
      <c r="AD1" s="1" t="s">
        <v>163</v>
      </c>
      <c r="AE1" s="1" t="s">
        <v>164</v>
      </c>
      <c r="AF1" s="1" t="s">
        <v>165</v>
      </c>
      <c r="AG1" s="1" t="s">
        <v>166</v>
      </c>
      <c r="AH1" s="1" t="s">
        <v>167</v>
      </c>
      <c r="AI1" s="1" t="s">
        <v>168</v>
      </c>
      <c r="AJ1" s="1" t="s">
        <v>169</v>
      </c>
      <c r="AK1" s="1" t="s">
        <v>170</v>
      </c>
      <c r="AL1" s="1" t="s">
        <v>171</v>
      </c>
      <c r="AM1" s="1" t="s">
        <v>172</v>
      </c>
      <c r="AN1" s="1" t="s">
        <v>173</v>
      </c>
      <c r="AO1" s="1" t="s">
        <v>174</v>
      </c>
      <c r="AP1" s="1" t="s">
        <v>175</v>
      </c>
      <c r="AQ1" s="1" t="s">
        <v>176</v>
      </c>
      <c r="AR1" s="1" t="s">
        <v>177</v>
      </c>
      <c r="AS1" s="1" t="s">
        <v>178</v>
      </c>
      <c r="AT1" s="1" t="s">
        <v>179</v>
      </c>
      <c r="AU1" s="1" t="s">
        <v>180</v>
      </c>
      <c r="AV1" s="1" t="s">
        <v>181</v>
      </c>
      <c r="AW1" s="1" t="s">
        <v>182</v>
      </c>
      <c r="AX1" s="1" t="s">
        <v>183</v>
      </c>
      <c r="AY1" s="1" t="s">
        <v>184</v>
      </c>
      <c r="AZ1" s="1" t="s">
        <v>185</v>
      </c>
      <c r="BA1" s="1" t="s">
        <v>186</v>
      </c>
    </row>
    <row r="2" spans="1:53">
      <c r="A2" t="s">
        <v>31</v>
      </c>
      <c r="AI2" t="s">
        <v>205</v>
      </c>
      <c r="AJ2" t="s">
        <v>205</v>
      </c>
      <c r="AK2" t="s">
        <v>205</v>
      </c>
    </row>
    <row r="3" spans="1:53">
      <c r="A3" t="s">
        <v>37</v>
      </c>
      <c r="AI3" t="s">
        <v>205</v>
      </c>
      <c r="AJ3" t="s">
        <v>205</v>
      </c>
    </row>
    <row r="4" spans="1:53">
      <c r="A4" t="s">
        <v>41</v>
      </c>
      <c r="AD4" t="s">
        <v>205</v>
      </c>
      <c r="AE4" t="s">
        <v>205</v>
      </c>
      <c r="AM4" t="s">
        <v>205</v>
      </c>
    </row>
    <row r="5" spans="1:53">
      <c r="A5" t="s">
        <v>46</v>
      </c>
      <c r="AC5" t="s">
        <v>205</v>
      </c>
      <c r="AD5" t="s">
        <v>205</v>
      </c>
      <c r="AE5" t="s">
        <v>205</v>
      </c>
      <c r="AM5" t="s">
        <v>205</v>
      </c>
    </row>
    <row r="6" spans="1:53">
      <c r="A6" t="s">
        <v>50</v>
      </c>
      <c r="AF6" t="s">
        <v>205</v>
      </c>
      <c r="AG6" t="s">
        <v>205</v>
      </c>
      <c r="AH6" t="s">
        <v>205</v>
      </c>
    </row>
    <row r="7" spans="1:53">
      <c r="A7" t="s">
        <v>244</v>
      </c>
    </row>
    <row r="9" spans="1:53">
      <c r="A9" s="10" t="s">
        <v>187</v>
      </c>
      <c r="B9" s="5"/>
      <c r="C9" s="5"/>
      <c r="D9" s="5"/>
      <c r="E9" s="5"/>
      <c r="F9" s="5"/>
      <c r="G9" s="5"/>
      <c r="H9" s="5"/>
      <c r="I9" s="5"/>
      <c r="J9" s="5"/>
      <c r="K9" s="5"/>
    </row>
  </sheetData>
  <mergeCells count="1">
    <mergeCell ref="A9:K9"/>
  </mergeCells>
  <dataValidations count="1">
    <dataValidation type="list" sqref="B2:BA101" xr:uid="{00000000-0002-0000-0500-000000000000}">
      <formula1>"Ferie,Fridag,Kursus,Syg"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>
      <selection activeCell="D8" sqref="D8"/>
    </sheetView>
  </sheetViews>
  <sheetFormatPr defaultRowHeight="14"/>
  <cols>
    <col min="1" max="1" width="22" customWidth="1"/>
    <col min="2" max="2" width="28" customWidth="1"/>
    <col min="3" max="3" width="12" customWidth="1"/>
    <col min="4" max="4" width="18" customWidth="1"/>
    <col min="5" max="5" width="10" customWidth="1"/>
    <col min="6" max="6" width="14" customWidth="1"/>
    <col min="7" max="7" width="16" customWidth="1"/>
    <col min="8" max="8" width="45" customWidth="1"/>
  </cols>
  <sheetData>
    <row r="1" spans="1:8" ht="17.399999999999999" customHeight="1">
      <c r="A1" s="1" t="s">
        <v>188</v>
      </c>
      <c r="B1" s="1" t="s">
        <v>189</v>
      </c>
      <c r="C1" s="1" t="s">
        <v>58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</row>
    <row r="2" spans="1:8">
      <c r="A2" t="s">
        <v>195</v>
      </c>
      <c r="B2" t="s">
        <v>86</v>
      </c>
      <c r="C2" t="s">
        <v>91</v>
      </c>
      <c r="D2" t="s">
        <v>37</v>
      </c>
      <c r="E2" t="s">
        <v>173</v>
      </c>
      <c r="G2" t="s">
        <v>197</v>
      </c>
      <c r="H2" t="s">
        <v>216</v>
      </c>
    </row>
    <row r="3" spans="1:8">
      <c r="A3" t="s">
        <v>195</v>
      </c>
      <c r="B3" t="s">
        <v>214</v>
      </c>
      <c r="C3" t="s">
        <v>93</v>
      </c>
      <c r="D3" t="s">
        <v>37</v>
      </c>
      <c r="E3" t="s">
        <v>173</v>
      </c>
      <c r="G3" t="s">
        <v>197</v>
      </c>
      <c r="H3" t="s">
        <v>216</v>
      </c>
    </row>
    <row r="4" spans="1:8">
      <c r="A4" t="s">
        <v>215</v>
      </c>
      <c r="B4" t="s">
        <v>199</v>
      </c>
      <c r="C4" t="s">
        <v>72</v>
      </c>
      <c r="D4" t="s">
        <v>41</v>
      </c>
      <c r="E4" t="s">
        <v>179</v>
      </c>
      <c r="G4" t="s">
        <v>196</v>
      </c>
      <c r="H4" t="s">
        <v>198</v>
      </c>
    </row>
  </sheetData>
  <dataValidations count="4">
    <dataValidation type="list" sqref="C2:C200" xr:uid="{00000000-0002-0000-0600-000000000000}">
      <formula1>"Group,MATAS,KICKS"</formula1>
    </dataValidation>
    <dataValidation type="list" sqref="D2:D200" xr:uid="{00000000-0002-0000-0600-000001000000}">
      <formula1>"Jesper,Christine,Kirstine,Cecilie,Stine"</formula1>
    </dataValidation>
    <dataValidation type="list" sqref="E2:E200" xr:uid="{00000000-0002-0000-0600-000002000000}">
      <formula1>"U1,U2,U3,U4,U5,U6,U7,U8,U9,U10,U11,U12,U13,U14,U15,U16,U17,U18,U19,U20,U21,U22,U23,U24,U25,U26,U27,U28,U29,U30,U31,U32,U33,U34,U35,U36,U37,U38,U39,U40,U41,U42,U43,U44,U45,U46,U47,U48,U49,U50,U51,U52"</formula1>
    </dataValidation>
    <dataValidation type="list" sqref="G2:G200" xr:uid="{00000000-0002-0000-0600-000003000000}">
      <formula1>"Ikke startet,I gang,Afventer,Færdig,Blokeret"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6"/>
  <sheetViews>
    <sheetView topLeftCell="A29" workbookViewId="0">
      <selection activeCell="B38" sqref="B38"/>
    </sheetView>
  </sheetViews>
  <sheetFormatPr defaultRowHeight="14"/>
  <cols>
    <col min="1" max="2" width="24" customWidth="1"/>
  </cols>
  <sheetData>
    <row r="1" spans="1:2" ht="17.399999999999999" customHeight="1">
      <c r="A1" s="1" t="s">
        <v>200</v>
      </c>
      <c r="B1" s="1" t="s">
        <v>201</v>
      </c>
    </row>
    <row r="2" spans="1:2">
      <c r="A2" t="s">
        <v>58</v>
      </c>
      <c r="B2" t="s">
        <v>72</v>
      </c>
    </row>
    <row r="3" spans="1:2">
      <c r="A3" t="s">
        <v>58</v>
      </c>
      <c r="B3" t="s">
        <v>91</v>
      </c>
    </row>
    <row r="4" spans="1:2">
      <c r="A4" t="s">
        <v>58</v>
      </c>
      <c r="B4" t="s">
        <v>93</v>
      </c>
    </row>
    <row r="5" spans="1:2">
      <c r="A5" t="s">
        <v>59</v>
      </c>
      <c r="B5" t="s">
        <v>73</v>
      </c>
    </row>
    <row r="6" spans="1:2">
      <c r="A6" t="s">
        <v>59</v>
      </c>
      <c r="B6" t="s">
        <v>101</v>
      </c>
    </row>
    <row r="7" spans="1:2">
      <c r="A7" t="s">
        <v>59</v>
      </c>
      <c r="B7" t="s">
        <v>113</v>
      </c>
    </row>
    <row r="8" spans="1:2">
      <c r="A8" t="s">
        <v>60</v>
      </c>
      <c r="B8" t="s">
        <v>74</v>
      </c>
    </row>
    <row r="9" spans="1:2">
      <c r="A9" t="s">
        <v>60</v>
      </c>
      <c r="B9" t="s">
        <v>79</v>
      </c>
    </row>
    <row r="10" spans="1:2">
      <c r="A10" t="s">
        <v>60</v>
      </c>
      <c r="B10" t="s">
        <v>87</v>
      </c>
    </row>
    <row r="11" spans="1:2">
      <c r="A11" t="s">
        <v>60</v>
      </c>
      <c r="B11" t="s">
        <v>114</v>
      </c>
    </row>
    <row r="12" spans="1:2">
      <c r="A12" t="s">
        <v>193</v>
      </c>
      <c r="B12" t="s">
        <v>196</v>
      </c>
    </row>
    <row r="13" spans="1:2">
      <c r="A13" t="s">
        <v>193</v>
      </c>
      <c r="B13" t="s">
        <v>197</v>
      </c>
    </row>
    <row r="14" spans="1:2">
      <c r="A14" t="s">
        <v>193</v>
      </c>
      <c r="B14" t="s">
        <v>202</v>
      </c>
    </row>
    <row r="15" spans="1:2">
      <c r="A15" t="s">
        <v>193</v>
      </c>
      <c r="B15" t="s">
        <v>203</v>
      </c>
    </row>
    <row r="16" spans="1:2">
      <c r="A16" t="s">
        <v>193</v>
      </c>
      <c r="B16" t="s">
        <v>204</v>
      </c>
    </row>
    <row r="17" spans="1:2">
      <c r="A17" t="s">
        <v>13</v>
      </c>
      <c r="B17" t="s">
        <v>205</v>
      </c>
    </row>
    <row r="18" spans="1:2">
      <c r="A18" t="s">
        <v>13</v>
      </c>
      <c r="B18" t="s">
        <v>206</v>
      </c>
    </row>
    <row r="19" spans="1:2">
      <c r="A19" t="s">
        <v>13</v>
      </c>
      <c r="B19" t="s">
        <v>207</v>
      </c>
    </row>
    <row r="20" spans="1:2">
      <c r="A20" t="s">
        <v>13</v>
      </c>
      <c r="B20" t="s">
        <v>208</v>
      </c>
    </row>
    <row r="21" spans="1:2">
      <c r="A21" t="s">
        <v>209</v>
      </c>
      <c r="B21" t="s">
        <v>34</v>
      </c>
    </row>
    <row r="22" spans="1:2">
      <c r="A22" t="s">
        <v>209</v>
      </c>
      <c r="B22" t="s">
        <v>80</v>
      </c>
    </row>
    <row r="23" spans="1:2">
      <c r="A23" t="s">
        <v>27</v>
      </c>
      <c r="B23" t="s">
        <v>35</v>
      </c>
    </row>
    <row r="24" spans="1:2">
      <c r="A24" t="s">
        <v>27</v>
      </c>
      <c r="B24" t="s">
        <v>44</v>
      </c>
    </row>
    <row r="25" spans="1:2">
      <c r="A25" t="s">
        <v>27</v>
      </c>
      <c r="B25" t="s">
        <v>210</v>
      </c>
    </row>
    <row r="26" spans="1:2">
      <c r="A26" t="s">
        <v>25</v>
      </c>
      <c r="B26" t="s">
        <v>33</v>
      </c>
    </row>
    <row r="27" spans="1:2">
      <c r="A27" t="s">
        <v>25</v>
      </c>
      <c r="B27" t="s">
        <v>39</v>
      </c>
    </row>
    <row r="28" spans="1:2">
      <c r="A28" t="s">
        <v>25</v>
      </c>
      <c r="B28" t="s">
        <v>43</v>
      </c>
    </row>
    <row r="29" spans="1:2">
      <c r="A29" t="s">
        <v>25</v>
      </c>
      <c r="B29" t="s">
        <v>48</v>
      </c>
    </row>
    <row r="30" spans="1:2">
      <c r="A30" t="s">
        <v>25</v>
      </c>
      <c r="B30" t="s">
        <v>52</v>
      </c>
    </row>
    <row r="31" spans="1:2">
      <c r="A31" t="s">
        <v>25</v>
      </c>
      <c r="B31" t="s">
        <v>211</v>
      </c>
    </row>
    <row r="32" spans="1:2">
      <c r="A32" t="s">
        <v>25</v>
      </c>
      <c r="B32" t="s">
        <v>212</v>
      </c>
    </row>
    <row r="33" spans="1:2">
      <c r="A33" t="s">
        <v>56</v>
      </c>
      <c r="B33" t="s">
        <v>70</v>
      </c>
    </row>
    <row r="34" spans="1:2">
      <c r="A34" t="s">
        <v>56</v>
      </c>
      <c r="B34" t="s">
        <v>227</v>
      </c>
    </row>
    <row r="35" spans="1:2">
      <c r="A35" t="s">
        <v>56</v>
      </c>
      <c r="B35" t="s">
        <v>96</v>
      </c>
    </row>
    <row r="36" spans="1:2">
      <c r="A36" t="s">
        <v>56</v>
      </c>
      <c r="B36" t="s">
        <v>89</v>
      </c>
    </row>
    <row r="37" spans="1:2">
      <c r="A37" t="s">
        <v>56</v>
      </c>
      <c r="B37" t="s">
        <v>83</v>
      </c>
    </row>
    <row r="38" spans="1:2">
      <c r="A38" t="s">
        <v>56</v>
      </c>
      <c r="B38" t="s">
        <v>20</v>
      </c>
    </row>
    <row r="39" spans="1:2">
      <c r="A39" t="s">
        <v>57</v>
      </c>
      <c r="B39" t="s">
        <v>71</v>
      </c>
    </row>
    <row r="40" spans="1:2">
      <c r="A40" t="s">
        <v>57</v>
      </c>
      <c r="B40" t="s">
        <v>78</v>
      </c>
    </row>
    <row r="41" spans="1:2">
      <c r="A41" t="s">
        <v>57</v>
      </c>
      <c r="B41" t="s">
        <v>97</v>
      </c>
    </row>
    <row r="42" spans="1:2">
      <c r="A42" t="s">
        <v>57</v>
      </c>
      <c r="B42" t="s">
        <v>90</v>
      </c>
    </row>
    <row r="43" spans="1:2">
      <c r="A43" t="s">
        <v>57</v>
      </c>
      <c r="B43" t="s">
        <v>106</v>
      </c>
    </row>
    <row r="44" spans="1:2">
      <c r="A44" t="s">
        <v>57</v>
      </c>
      <c r="B44" t="s">
        <v>84</v>
      </c>
    </row>
    <row r="45" spans="1:2">
      <c r="A45" t="s">
        <v>57</v>
      </c>
      <c r="B45" t="s">
        <v>213</v>
      </c>
    </row>
    <row r="46" spans="1:2">
      <c r="A46" t="s">
        <v>54</v>
      </c>
      <c r="B46" t="s">
        <v>68</v>
      </c>
    </row>
    <row r="47" spans="1:2">
      <c r="A47" t="s">
        <v>54</v>
      </c>
      <c r="B47" t="s">
        <v>78</v>
      </c>
    </row>
    <row r="48" spans="1:2">
      <c r="A48" t="s">
        <v>54</v>
      </c>
      <c r="B48" t="s">
        <v>225</v>
      </c>
    </row>
    <row r="49" spans="1:2">
      <c r="A49" t="s">
        <v>54</v>
      </c>
      <c r="B49" t="s">
        <v>109</v>
      </c>
    </row>
    <row r="50" spans="1:2">
      <c r="A50" t="s">
        <v>54</v>
      </c>
      <c r="B50" t="s">
        <v>95</v>
      </c>
    </row>
    <row r="51" spans="1:2">
      <c r="A51" t="s">
        <v>54</v>
      </c>
      <c r="B51" t="s">
        <v>99</v>
      </c>
    </row>
    <row r="52" spans="1:2">
      <c r="A52" t="s">
        <v>54</v>
      </c>
      <c r="B52" t="s">
        <v>105</v>
      </c>
    </row>
    <row r="53" spans="1:2">
      <c r="A53" t="s">
        <v>54</v>
      </c>
      <c r="B53" t="s">
        <v>112</v>
      </c>
    </row>
    <row r="54" spans="1:2">
      <c r="A54" t="s">
        <v>54</v>
      </c>
      <c r="B54" t="s">
        <v>223</v>
      </c>
    </row>
    <row r="55" spans="1:2">
      <c r="A55" t="s">
        <v>191</v>
      </c>
      <c r="B55" t="s">
        <v>135</v>
      </c>
    </row>
    <row r="56" spans="1:2">
      <c r="A56" t="s">
        <v>191</v>
      </c>
      <c r="B56" t="s">
        <v>136</v>
      </c>
    </row>
    <row r="57" spans="1:2">
      <c r="A57" t="s">
        <v>191</v>
      </c>
      <c r="B57" t="s">
        <v>137</v>
      </c>
    </row>
    <row r="58" spans="1:2">
      <c r="A58" t="s">
        <v>191</v>
      </c>
      <c r="B58" t="s">
        <v>138</v>
      </c>
    </row>
    <row r="59" spans="1:2">
      <c r="A59" t="s">
        <v>191</v>
      </c>
      <c r="B59" t="s">
        <v>139</v>
      </c>
    </row>
    <row r="60" spans="1:2">
      <c r="A60" t="s">
        <v>191</v>
      </c>
      <c r="B60" t="s">
        <v>140</v>
      </c>
    </row>
    <row r="61" spans="1:2">
      <c r="A61" t="s">
        <v>191</v>
      </c>
      <c r="B61" t="s">
        <v>141</v>
      </c>
    </row>
    <row r="62" spans="1:2">
      <c r="A62" t="s">
        <v>191</v>
      </c>
      <c r="B62" t="s">
        <v>142</v>
      </c>
    </row>
    <row r="63" spans="1:2">
      <c r="A63" t="s">
        <v>191</v>
      </c>
      <c r="B63" t="s">
        <v>143</v>
      </c>
    </row>
    <row r="64" spans="1:2">
      <c r="A64" t="s">
        <v>191</v>
      </c>
      <c r="B64" t="s">
        <v>144</v>
      </c>
    </row>
    <row r="65" spans="1:2">
      <c r="A65" t="s">
        <v>191</v>
      </c>
      <c r="B65" t="s">
        <v>145</v>
      </c>
    </row>
    <row r="66" spans="1:2">
      <c r="A66" t="s">
        <v>191</v>
      </c>
      <c r="B66" t="s">
        <v>146</v>
      </c>
    </row>
    <row r="67" spans="1:2">
      <c r="A67" t="s">
        <v>191</v>
      </c>
      <c r="B67" t="s">
        <v>147</v>
      </c>
    </row>
    <row r="68" spans="1:2">
      <c r="A68" t="s">
        <v>191</v>
      </c>
      <c r="B68" t="s">
        <v>148</v>
      </c>
    </row>
    <row r="69" spans="1:2">
      <c r="A69" t="s">
        <v>191</v>
      </c>
      <c r="B69" t="s">
        <v>149</v>
      </c>
    </row>
    <row r="70" spans="1:2">
      <c r="A70" t="s">
        <v>191</v>
      </c>
      <c r="B70" t="s">
        <v>150</v>
      </c>
    </row>
    <row r="71" spans="1:2">
      <c r="A71" t="s">
        <v>191</v>
      </c>
      <c r="B71" t="s">
        <v>151</v>
      </c>
    </row>
    <row r="72" spans="1:2">
      <c r="A72" t="s">
        <v>191</v>
      </c>
      <c r="B72" t="s">
        <v>152</v>
      </c>
    </row>
    <row r="73" spans="1:2">
      <c r="A73" t="s">
        <v>191</v>
      </c>
      <c r="B73" t="s">
        <v>153</v>
      </c>
    </row>
    <row r="74" spans="1:2">
      <c r="A74" t="s">
        <v>191</v>
      </c>
      <c r="B74" t="s">
        <v>154</v>
      </c>
    </row>
    <row r="75" spans="1:2">
      <c r="A75" t="s">
        <v>191</v>
      </c>
      <c r="B75" t="s">
        <v>155</v>
      </c>
    </row>
    <row r="76" spans="1:2">
      <c r="A76" t="s">
        <v>191</v>
      </c>
      <c r="B76" t="s">
        <v>156</v>
      </c>
    </row>
    <row r="77" spans="1:2">
      <c r="A77" t="s">
        <v>191</v>
      </c>
      <c r="B77" t="s">
        <v>157</v>
      </c>
    </row>
    <row r="78" spans="1:2">
      <c r="A78" t="s">
        <v>191</v>
      </c>
      <c r="B78" t="s">
        <v>158</v>
      </c>
    </row>
    <row r="79" spans="1:2">
      <c r="A79" t="s">
        <v>191</v>
      </c>
      <c r="B79" t="s">
        <v>159</v>
      </c>
    </row>
    <row r="80" spans="1:2">
      <c r="A80" t="s">
        <v>191</v>
      </c>
      <c r="B80" t="s">
        <v>160</v>
      </c>
    </row>
    <row r="81" spans="1:2">
      <c r="A81" t="s">
        <v>191</v>
      </c>
      <c r="B81" t="s">
        <v>161</v>
      </c>
    </row>
    <row r="82" spans="1:2">
      <c r="A82" t="s">
        <v>191</v>
      </c>
      <c r="B82" t="s">
        <v>162</v>
      </c>
    </row>
    <row r="83" spans="1:2">
      <c r="A83" t="s">
        <v>191</v>
      </c>
      <c r="B83" t="s">
        <v>163</v>
      </c>
    </row>
    <row r="84" spans="1:2">
      <c r="A84" t="s">
        <v>191</v>
      </c>
      <c r="B84" t="s">
        <v>164</v>
      </c>
    </row>
    <row r="85" spans="1:2">
      <c r="A85" t="s">
        <v>191</v>
      </c>
      <c r="B85" t="s">
        <v>165</v>
      </c>
    </row>
    <row r="86" spans="1:2">
      <c r="A86" t="s">
        <v>191</v>
      </c>
      <c r="B86" t="s">
        <v>166</v>
      </c>
    </row>
    <row r="87" spans="1:2">
      <c r="A87" t="s">
        <v>191</v>
      </c>
      <c r="B87" t="s">
        <v>167</v>
      </c>
    </row>
    <row r="88" spans="1:2">
      <c r="A88" t="s">
        <v>191</v>
      </c>
      <c r="B88" t="s">
        <v>168</v>
      </c>
    </row>
    <row r="89" spans="1:2">
      <c r="A89" t="s">
        <v>191</v>
      </c>
      <c r="B89" t="s">
        <v>169</v>
      </c>
    </row>
    <row r="90" spans="1:2">
      <c r="A90" t="s">
        <v>191</v>
      </c>
      <c r="B90" t="s">
        <v>170</v>
      </c>
    </row>
    <row r="91" spans="1:2">
      <c r="A91" t="s">
        <v>191</v>
      </c>
      <c r="B91" t="s">
        <v>171</v>
      </c>
    </row>
    <row r="92" spans="1:2">
      <c r="A92" t="s">
        <v>191</v>
      </c>
      <c r="B92" t="s">
        <v>172</v>
      </c>
    </row>
    <row r="93" spans="1:2">
      <c r="A93" t="s">
        <v>191</v>
      </c>
      <c r="B93" t="s">
        <v>173</v>
      </c>
    </row>
    <row r="94" spans="1:2">
      <c r="A94" t="s">
        <v>191</v>
      </c>
      <c r="B94" t="s">
        <v>174</v>
      </c>
    </row>
    <row r="95" spans="1:2">
      <c r="A95" t="s">
        <v>191</v>
      </c>
      <c r="B95" t="s">
        <v>175</v>
      </c>
    </row>
    <row r="96" spans="1:2">
      <c r="A96" t="s">
        <v>191</v>
      </c>
      <c r="B96" t="s">
        <v>176</v>
      </c>
    </row>
    <row r="97" spans="1:2">
      <c r="A97" t="s">
        <v>191</v>
      </c>
      <c r="B97" t="s">
        <v>177</v>
      </c>
    </row>
    <row r="98" spans="1:2">
      <c r="A98" t="s">
        <v>191</v>
      </c>
      <c r="B98" t="s">
        <v>178</v>
      </c>
    </row>
    <row r="99" spans="1:2">
      <c r="A99" t="s">
        <v>191</v>
      </c>
      <c r="B99" t="s">
        <v>179</v>
      </c>
    </row>
    <row r="100" spans="1:2">
      <c r="A100" t="s">
        <v>191</v>
      </c>
      <c r="B100" t="s">
        <v>180</v>
      </c>
    </row>
    <row r="101" spans="1:2">
      <c r="A101" t="s">
        <v>191</v>
      </c>
      <c r="B101" t="s">
        <v>181</v>
      </c>
    </row>
    <row r="102" spans="1:2">
      <c r="A102" t="s">
        <v>191</v>
      </c>
      <c r="B102" t="s">
        <v>182</v>
      </c>
    </row>
    <row r="103" spans="1:2">
      <c r="A103" t="s">
        <v>191</v>
      </c>
      <c r="B103" t="s">
        <v>183</v>
      </c>
    </row>
    <row r="104" spans="1:2">
      <c r="A104" t="s">
        <v>191</v>
      </c>
      <c r="B104" t="s">
        <v>184</v>
      </c>
    </row>
    <row r="105" spans="1:2">
      <c r="A105" t="s">
        <v>191</v>
      </c>
      <c r="B105" t="s">
        <v>185</v>
      </c>
    </row>
    <row r="106" spans="1:2">
      <c r="A106" t="s">
        <v>191</v>
      </c>
      <c r="B106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Guide</vt:lpstr>
      <vt:lpstr>Team</vt:lpstr>
      <vt:lpstr>Arbejdsopgaver</vt:lpstr>
      <vt:lpstr>Workspaces</vt:lpstr>
      <vt:lpstr>Tilgængelighed</vt:lpstr>
      <vt:lpstr>Plan &amp; Projekter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Cecilie Sylvest</dc:creator>
  <cp:lastModifiedBy>Cecilie Sylvest</cp:lastModifiedBy>
  <dcterms:created xsi:type="dcterms:W3CDTF">2026-06-30T19:21:23Z</dcterms:created>
  <dcterms:modified xsi:type="dcterms:W3CDTF">2026-07-01T18:47:06Z</dcterms:modified>
</cp:coreProperties>
</file>